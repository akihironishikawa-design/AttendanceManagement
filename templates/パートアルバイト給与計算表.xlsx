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bookViews>
    <workbookView xWindow="2535" yWindow="885" windowWidth="18765" windowHeight="14085" tabRatio="664"/>
  </bookViews>
  <sheets>
    <sheet name="原本" sheetId="30" r:id="rId13"/>
  </sheets>
  <definedNames>
    <definedName name="_xlnm.Print_Area" localSheetId="0"><![CDATA[原本!$A$1:$M$43]]></definedName>
  </definedName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<sst xmlns="http://schemas.openxmlformats.org/spreadsheetml/2006/main" count="754" uniqueCount="48">
  <si>
    <t>労働時間</t>
    <rPh sb="0" eb="2">
      <t>ロウドウ</t>
    </rPh>
    <rPh sb="2" eb="4">
      <t>ジカン</t>
    </rPh>
    <phoneticPr fontId="3"/>
  </si>
  <si>
    <t>基本時給</t>
    <rPh sb="0" eb="2">
      <t>キホン</t>
    </rPh>
    <rPh sb="2" eb="4">
      <t>ジキュウ</t>
    </rPh>
    <phoneticPr fontId="3"/>
  </si>
  <si>
    <t>日</t>
  </si>
  <si>
    <t>月</t>
  </si>
  <si>
    <t>火</t>
  </si>
  <si>
    <t>水</t>
  </si>
  <si>
    <t>木</t>
  </si>
  <si>
    <t>金</t>
  </si>
  <si>
    <t>土</t>
  </si>
  <si>
    <t>時間外</t>
    <rPh sb="0" eb="3">
      <t>ジカンガイ</t>
    </rPh>
    <phoneticPr fontId="3"/>
  </si>
  <si>
    <t>総労働時間</t>
    <rPh sb="0" eb="1">
      <t>ソウ</t>
    </rPh>
    <rPh sb="1" eb="3">
      <t>ロウドウ</t>
    </rPh>
    <rPh sb="3" eb="5">
      <t>ジカン</t>
    </rPh>
    <phoneticPr fontId="3"/>
  </si>
  <si>
    <t>出勤</t>
    <rPh sb="0" eb="2">
      <t>シュッキン</t>
    </rPh>
    <phoneticPr fontId="3"/>
  </si>
  <si>
    <t>公休</t>
    <rPh sb="0" eb="2">
      <t>コウキュウ</t>
    </rPh>
    <phoneticPr fontId="3"/>
  </si>
  <si>
    <t>有給</t>
    <rPh sb="0" eb="2">
      <t>ユウキュウ</t>
    </rPh>
    <phoneticPr fontId="3"/>
  </si>
  <si>
    <t>食事</t>
    <rPh sb="0" eb="2">
      <t>ショクジ</t>
    </rPh>
    <phoneticPr fontId="3"/>
  </si>
  <si>
    <t>氏名</t>
  </si>
  <si>
    <t>時間外</t>
  </si>
  <si>
    <t>出社時間</t>
  </si>
  <si>
    <t>切り捨て上げ</t>
  </si>
  <si>
    <t>勤務時間</t>
  </si>
  <si>
    <t>休憩時間</t>
  </si>
  <si>
    <t>総労働時間</t>
  </si>
  <si>
    <t>労働時間</t>
  </si>
  <si>
    <t>合計</t>
  </si>
  <si>
    <t>金額</t>
  </si>
  <si>
    <t>退社時間</t>
    <phoneticPr fontId="3"/>
  </si>
  <si>
    <t>(土日祝労働時間)</t>
    <rPh sb="1" eb="4">
      <t>ドニチ</t>
    </rPh>
    <rPh sb="4" eb="8">
      <t>ロウドウジカン</t>
    </rPh>
    <phoneticPr fontId="3"/>
  </si>
  <si>
    <t>(土日祝時間外)</t>
    <rPh sb="1" eb="4">
      <t>ドニチ</t>
    </rPh>
    <rPh sb="4" eb="7">
      <t>ジカンガイ</t>
    </rPh>
    <phoneticPr fontId="3"/>
  </si>
  <si>
    <t>祝</t>
    <rPh sb="0" eb="1">
      <t>シュク</t>
    </rPh>
    <phoneticPr fontId="3"/>
  </si>
  <si>
    <t>土日祝労働</t>
    <rPh sb="0" eb="3">
      <t>ドニチ</t>
    </rPh>
    <rPh sb="3" eb="5">
      <t>ロウドウ</t>
    </rPh>
    <phoneticPr fontId="3"/>
  </si>
  <si>
    <t>土日祝出勤手当</t>
    <rPh sb="0" eb="3">
      <t>ドニチシュク</t>
    </rPh>
    <rPh sb="3" eb="5">
      <t>シュッキン</t>
    </rPh>
    <rPh sb="5" eb="7">
      <t>テアテ</t>
    </rPh>
    <phoneticPr fontId="3"/>
  </si>
  <si>
    <t>残業手当</t>
    <rPh sb="0" eb="2">
      <t>ザンギョウ</t>
    </rPh>
    <rPh sb="2" eb="4">
      <t>テアテ</t>
    </rPh>
    <phoneticPr fontId="3"/>
  </si>
  <si>
    <t>基本給</t>
    <phoneticPr fontId="3"/>
  </si>
  <si>
    <t>合計</t>
    <rPh sb="0" eb="2">
      <t>ゴウケイ</t>
    </rPh>
    <phoneticPr fontId="3"/>
  </si>
  <si>
    <t>土日祝残業手当</t>
    <rPh sb="0" eb="3">
      <t>ドニチシュク</t>
    </rPh>
    <rPh sb="3" eb="5">
      <t>ザンギョウ</t>
    </rPh>
    <rPh sb="5" eb="7">
      <t>テアテ</t>
    </rPh>
    <phoneticPr fontId="3"/>
  </si>
  <si>
    <t>4月</t>
    <phoneticPr fontId="3"/>
  </si>
  <si>
    <t>野村 安子</t>
    <rPh sb="0" eb="2">
      <t>ノムラ</t>
    </rPh>
    <rPh sb="3" eb="5">
      <t>ヤスコ</t>
    </rPh>
    <phoneticPr fontId="3"/>
  </si>
  <si>
    <t>金子 奈津美</t>
    <rPh sb="0" eb="2">
      <t>カネコ</t>
    </rPh>
    <rPh sb="3" eb="6">
      <t>ナツミ</t>
    </rPh>
    <phoneticPr fontId="3"/>
  </si>
  <si>
    <t>森屋 恵</t>
    <phoneticPr fontId="3"/>
  </si>
  <si>
    <t>中島 里美</t>
    <rPh sb="0" eb="2">
      <t>ナカジマ</t>
    </rPh>
    <rPh sb="3" eb="5">
      <t>サトミ</t>
    </rPh>
    <phoneticPr fontId="3"/>
  </si>
  <si>
    <t>近藤 恵</t>
    <rPh sb="0" eb="2">
      <t>コンドウ</t>
    </rPh>
    <rPh sb="3" eb="4">
      <t>メグミ</t>
    </rPh>
    <phoneticPr fontId="3"/>
  </si>
  <si>
    <t>濵島 律子</t>
    <rPh sb="0" eb="2">
      <t>ハマジマ</t>
    </rPh>
    <rPh sb="3" eb="5">
      <t>リツコ</t>
    </rPh>
    <phoneticPr fontId="3"/>
  </si>
  <si>
    <t>新井 弘子</t>
    <rPh sb="0" eb="2">
      <t>アライ</t>
    </rPh>
    <rPh sb="3" eb="5">
      <t>ヒロコ</t>
    </rPh>
    <phoneticPr fontId="3"/>
  </si>
  <si>
    <t>若林 光江</t>
    <rPh sb="0" eb="2">
      <t>ワカバヤシ</t>
    </rPh>
    <rPh sb="3" eb="5">
      <t>ミツエ</t>
    </rPh>
    <phoneticPr fontId="3"/>
  </si>
  <si>
    <t>西澤 幸枝</t>
    <rPh sb="0" eb="2">
      <t>ニシザワ</t>
    </rPh>
    <rPh sb="3" eb="5">
      <t>ユキエ</t>
    </rPh>
    <phoneticPr fontId="3"/>
  </si>
  <si>
    <t>松野 清美</t>
    <rPh sb="0" eb="2">
      <t>マツノ</t>
    </rPh>
    <rPh sb="3" eb="5">
      <t>キヨミ</t>
    </rPh>
    <phoneticPr fontId="3"/>
  </si>
  <si>
    <t>10月</t>
    <rPh sb="2" eb="3">
      <t>ガツ</t>
    </rPh>
    <phoneticPr fontId="3"/>
  </si>
  <si>
    <t>木</t>
    <rPh sb="0" eb="1">
      <t>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</si>
</sst>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h]:mm"/>
    <numFmt numFmtId="178" formatCode="#,##0_ "/>
  </numFmts>
  <fonts count="7" x14ac:knownFonts="1">
    <font>
      <sz val="11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Ｐ明朝"/>
      <family val="1"/>
      <charset val="128"/>
    </font>
    <font>
      <sz val="8"/>
      <name val="ＭＳ Ｐ明朝"/>
      <family val="1"/>
      <charset val="128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20" fontId="0" fillId="0" borderId="1" xfId="0" applyNumberFormat="1" applyBorder="1"/>
    <xf numFmtId="20" fontId="0" fillId="2" borderId="1" xfId="0" applyNumberFormat="1" applyFill="1" applyBorder="1"/>
    <xf numFmtId="20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/>
    </xf>
    <xf numFmtId="20" fontId="0" fillId="2" borderId="6" xfId="0" applyNumberForma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177" fontId="4" fillId="0" borderId="11" xfId="0" applyNumberFormat="1" applyFont="1" applyBorder="1"/>
    <xf numFmtId="177" fontId="4" fillId="0" borderId="12" xfId="0" applyNumberFormat="1" applyFont="1" applyBorder="1"/>
    <xf numFmtId="176" fontId="0" fillId="4" borderId="13" xfId="0" applyNumberFormat="1" applyFill="1" applyBorder="1"/>
    <xf numFmtId="0" fontId="0" fillId="0" borderId="0" xfId="0" applyAlignment="1">
      <alignment horizontal="center" vertical="center" shrinkToFit="1"/>
    </xf>
    <xf numFmtId="38" fontId="2" fillId="0" borderId="0" xfId="1"/>
    <xf numFmtId="0" fontId="0" fillId="0" borderId="0" xfId="0" applyAlignment="1">
      <alignment vertical="center"/>
    </xf>
    <xf numFmtId="0" fontId="0" fillId="0" borderId="14" xfId="0" applyBorder="1"/>
    <xf numFmtId="0" fontId="0" fillId="0" borderId="9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6" xfId="0" applyBorder="1" applyAlignment="1">
      <alignment horizontal="center" shrinkToFit="1"/>
    </xf>
    <xf numFmtId="0" fontId="0" fillId="0" borderId="1" xfId="0" applyBorder="1"/>
    <xf numFmtId="20" fontId="0" fillId="0" borderId="6" xfId="0" applyNumberFormat="1" applyBorder="1"/>
    <xf numFmtId="0" fontId="0" fillId="0" borderId="17" xfId="0" applyBorder="1" applyAlignment="1">
      <alignment horizontal="center" shrinkToFit="1"/>
    </xf>
    <xf numFmtId="177" fontId="0" fillId="2" borderId="0" xfId="0" applyNumberFormat="1" applyFill="1" applyAlignment="1">
      <alignment vertical="center"/>
    </xf>
    <xf numFmtId="177" fontId="0" fillId="2" borderId="0" xfId="0" applyNumberFormat="1" applyFill="1"/>
    <xf numFmtId="38" fontId="0" fillId="4" borderId="9" xfId="1" applyFont="1" applyFill="1" applyBorder="1"/>
    <xf numFmtId="178" fontId="0" fillId="0" borderId="0" xfId="0" applyNumberFormat="1"/>
    <xf numFmtId="0" fontId="0" fillId="0" borderId="0" xfId="0" applyAlignment="1">
      <alignment horizontal="right"/>
    </xf>
    <xf numFmtId="177" fontId="0" fillId="0" borderId="0" xfId="0" applyNumberFormat="1"/>
    <xf numFmtId="0" fontId="0" fillId="0" borderId="2" xfId="0" applyBorder="1" applyAlignment="1">
      <alignment horizontal="center" shrinkToFit="1"/>
    </xf>
    <xf numFmtId="20" fontId="0" fillId="0" borderId="5" xfId="0" applyNumberFormat="1" applyBorder="1"/>
    <xf numFmtId="38" fontId="0" fillId="0" borderId="0" xfId="0" applyNumberFormat="1"/>
    <xf numFmtId="38" fontId="0" fillId="4" borderId="9" xfId="1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/>
    </xf>
    <xf numFmtId="38" fontId="1" fillId="0" borderId="0" xfId="1" applyFont="1" applyFill="1" applyAlignment="1">
      <alignment vertical="center"/>
    </xf>
    <xf numFmtId="0" fontId="0" fillId="0" borderId="1" xfId="0" applyBorder="1" applyAlignment="1">
      <alignment horizontal="center"/>
    </xf>
    <xf numFmtId="0" fontId="0" fillId="3" borderId="0" xfId="0" applyFill="1" applyAlignment="1" applyProtection="1">
      <alignment horizontal="right"/>
      <protection locked="0"/>
    </xf>
    <xf numFmtId="38" fontId="0" fillId="4" borderId="9" xfId="2" applyFont="1" applyFill="1" applyBorder="1" applyAlignment="1">
      <alignment horizontal="center"/>
    </xf>
    <xf numFmtId="38" fontId="0" fillId="4" borderId="9" xfId="2" applyFont="1" applyFill="1" applyBorder="1"/>
    <xf numFmtId="38" fontId="1" fillId="0" borderId="0" xfId="2"/>
    <xf numFmtId="38" fontId="1" fillId="0" borderId="0" xfId="2" applyFont="1" applyFill="1" applyAlignment="1">
      <alignment vertical="center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20" fontId="6" fillId="0" borderId="21" xfId="0" applyNumberFormat="1" applyFont="1" applyBorder="1" applyAlignment="1">
      <alignment vertical="center" wrapText="1"/>
    </xf>
    <xf numFmtId="20" fontId="6" fillId="0" borderId="22" xfId="0" applyNumberFormat="1" applyFont="1" applyBorder="1" applyAlignment="1">
      <alignment vertical="center" wrapText="1"/>
    </xf>
    <xf numFmtId="0" fontId="6" fillId="6" borderId="21" xfId="0" applyFont="1" applyFill="1" applyBorder="1" applyAlignment="1">
      <alignment vertical="center" wrapText="1"/>
    </xf>
    <xf numFmtId="20" fontId="6" fillId="6" borderId="21" xfId="0" applyNumberFormat="1" applyFont="1" applyFill="1" applyBorder="1" applyAlignment="1">
      <alignment vertical="center" wrapText="1"/>
    </xf>
    <xf numFmtId="0" fontId="6" fillId="6" borderId="22" xfId="0" applyFont="1" applyFill="1" applyBorder="1" applyAlignment="1">
      <alignment vertical="center" wrapText="1"/>
    </xf>
    <xf numFmtId="20" fontId="6" fillId="6" borderId="22" xfId="0" applyNumberFormat="1" applyFont="1" applyFill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20" fontId="6" fillId="0" borderId="23" xfId="0" applyNumberFormat="1" applyFont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5" borderId="20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 shrinkToFit="1"/>
    </xf>
  </cellXfs>
  <cellStyles count="3">
    <cellStyle name="桁区切り" xfId="1" builtinId="6"/>
    <cellStyle name="桁区切り 2" xfId="2" xr:uid="{DFEA4101-A604-4A45-AA09-A97DFC3B0376}"/>
    <cellStyle name="標準" xfId="0" builtinId="0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worksheet" Target="worksheets/sheet13.xml" /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  <a:custDash/>
        </a:ln>
        <a:ln w="25400" cap="flat" cmpd="sng" algn="ctr">
          <a:solidFill>
            <a:schemeClr val="phClr"/>
          </a:solidFill>
          <a:prstDash val="solid"/>
          <a:custDash/>
        </a:ln>
        <a:ln w="38100" cap="flat" cmpd="sng" algn="ctr">
          <a:solidFill>
            <a:schemeClr val="phClr"/>
          </a:solidFill>
          <a:prstDash val="solid"/>
          <a:custDash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5920-3DE5-44FC-8947-10209F81B9BE}">
  <sheetPr>
    <tabColor indexed="46"/>
  </sheetPr>
  <dimension ref="A1:N43"/>
  <sheetViews>
    <sheetView view="pageBreakPreview" zoomScaleNormal="100" zoomScaleSheetLayoutView="100" workbookViewId="0">
      <selection activeCell="K42" sqref="K42"/>
    </sheetView>
  </sheetViews>
  <sheetFormatPr defaultRowHeight="13.5" x14ac:dyDescent="0.15"/>
  <cols>
    <col min="1" max="1" width="7.625" customWidth="1"/>
    <col min="2" max="2" width="3.375" customWidth="1"/>
    <col min="3" max="4" width="9.125" customWidth="1"/>
    <col min="5" max="5" width="2" hidden="1" customWidth="1"/>
    <col min="6" max="6" width="3.875" hidden="1" customWidth="1"/>
    <col min="7" max="7" width="9.125" customWidth="1"/>
    <col min="8" max="8" width="6.625" customWidth="1"/>
    <col min="9" max="9" width="9.125" customWidth="1"/>
    <col min="10" max="13" width="8.125" customWidth="1"/>
    <col min="14" max="14" width="2" customWidth="1"/>
  </cols>
  <sheetData>
    <row r="1" spans="1:13" x14ac:dyDescent="0.15">
      <c r="A1" s="1" t="s">
        <v>35</v>
      </c>
      <c r="B1" s="1"/>
      <c r="C1" s="1"/>
      <c r="D1" s="1"/>
      <c r="E1" s="1"/>
      <c r="F1" s="1"/>
      <c r="G1" s="1"/>
      <c r="H1" s="1"/>
      <c r="I1" s="1"/>
    </row>
    <row r="2" spans="1:13" ht="14.25" thickBot="1" x14ac:dyDescent="0.2">
      <c r="A2" s="1" t="s">
        <v>15</v>
      </c>
      <c r="B2" s="1"/>
      <c r="C2" s="41"/>
      <c r="D2" s="10" t="s">
        <v>1</v>
      </c>
      <c r="E2" s="11"/>
      <c r="F2" s="11"/>
      <c r="G2" s="42"/>
      <c r="H2" s="1"/>
      <c r="I2" s="10" t="s">
        <v>9</v>
      </c>
      <c r="J2" s="43">
        <f>+G2*1.25</f>
        <v>0</v>
      </c>
    </row>
    <row r="3" spans="1:13" ht="14.25" thickBot="1" x14ac:dyDescent="0.2">
      <c r="L3" s="58" t="s">
        <v>29</v>
      </c>
      <c r="M3" s="59"/>
    </row>
    <row r="4" spans="1:13" x14ac:dyDescent="0.15">
      <c r="A4" s="5"/>
      <c r="B4" s="20"/>
      <c r="C4" s="6" t="s">
        <v>17</v>
      </c>
      <c r="D4" s="6" t="s">
        <v>25</v>
      </c>
      <c r="E4" s="60" t="s">
        <v>18</v>
      </c>
      <c r="F4" s="60"/>
      <c r="G4" s="6" t="s">
        <v>19</v>
      </c>
      <c r="H4" s="6" t="s">
        <v>20</v>
      </c>
      <c r="I4" s="7" t="s">
        <v>21</v>
      </c>
      <c r="J4" s="26" t="s">
        <v>22</v>
      </c>
      <c r="K4" s="23" t="s">
        <v>16</v>
      </c>
      <c r="L4" s="33" t="s">
        <v>22</v>
      </c>
      <c r="M4" s="7" t="s">
        <v>16</v>
      </c>
    </row>
    <row r="5" spans="1:13" x14ac:dyDescent="0.15">
      <c r="A5" s="8">
        <v>16</v>
      </c>
      <c r="B5" s="21" t="s">
        <v>3</v>
      </c>
      <c r="C5" s="4"/>
      <c r="D5" s="4"/>
      <c r="E5" s="2">
        <f>CEILING(C5,"0:05")</f>
        <v>0</v>
      </c>
      <c r="F5" s="2">
        <f>FLOOR(D5,"0:05")</f>
        <v>0</v>
      </c>
      <c r="G5" s="3">
        <f>D5-C5</f>
        <v>0</v>
      </c>
      <c r="H5" s="4"/>
      <c r="I5" s="9">
        <f>(G5-H5)</f>
        <v>0</v>
      </c>
      <c r="J5" s="2">
        <f t="shared" ref="J5:J7" si="0">IF(I5&gt;TIMEVALUE("8:00"),TIMEVALUE("8:00"),I5)</f>
        <v>0</v>
      </c>
      <c r="K5" s="25">
        <f>I5-J5</f>
        <v>0</v>
      </c>
      <c r="L5" s="34" t="str">
        <f>IF(OR(B5="土",B5="日",B5="祝"),J5,"")</f>
        <v/>
      </c>
      <c r="M5" s="25" t="str">
        <f>IF(OR(B5="土",B5="日",B5="祝"),K5,"")</f>
        <v/>
      </c>
    </row>
    <row r="6" spans="1:13" x14ac:dyDescent="0.15">
      <c r="A6" s="8">
        <v>17</v>
      </c>
      <c r="B6" s="21" t="s">
        <v>4</v>
      </c>
      <c r="C6" s="4"/>
      <c r="D6" s="4"/>
      <c r="E6" s="2">
        <f>CEILING(C6,"0:05")</f>
        <v>0</v>
      </c>
      <c r="F6" s="2">
        <f t="shared" ref="F6:F35" si="1">FLOOR(D6,"0:05")</f>
        <v>0</v>
      </c>
      <c r="G6" s="3">
        <f t="shared" ref="G6:G35" si="2">D6-C6</f>
        <v>0</v>
      </c>
      <c r="H6" s="4"/>
      <c r="I6" s="9">
        <f t="shared" ref="I6:I35" si="3">(G6-H6)</f>
        <v>0</v>
      </c>
      <c r="J6" s="2">
        <f t="shared" si="0"/>
        <v>0</v>
      </c>
      <c r="K6" s="25">
        <f>I6-J6</f>
        <v>0</v>
      </c>
      <c r="L6" s="34" t="str">
        <f t="shared" ref="L6:L35" si="4">IF(OR(B6="土",B6="日",B6="祝"),J6,"")</f>
        <v/>
      </c>
      <c r="M6" s="25" t="str">
        <f t="shared" ref="M6:M35" si="5">IF(OR(B6="土",B6="日",B6="祝"),K6,"")</f>
        <v/>
      </c>
    </row>
    <row r="7" spans="1:13" x14ac:dyDescent="0.15">
      <c r="A7" s="8">
        <v>18</v>
      </c>
      <c r="B7" s="21" t="s">
        <v>5</v>
      </c>
      <c r="C7" s="4"/>
      <c r="D7" s="4"/>
      <c r="E7" s="2">
        <f t="shared" ref="E7:E35" si="6">CEILING(C7,"0:05")</f>
        <v>0</v>
      </c>
      <c r="F7" s="2">
        <f t="shared" si="1"/>
        <v>0</v>
      </c>
      <c r="G7" s="3">
        <f t="shared" si="2"/>
        <v>0</v>
      </c>
      <c r="H7" s="4"/>
      <c r="I7" s="9">
        <f t="shared" si="3"/>
        <v>0</v>
      </c>
      <c r="J7" s="2">
        <f t="shared" si="0"/>
        <v>0</v>
      </c>
      <c r="K7" s="25">
        <f>I7-J7</f>
        <v>0</v>
      </c>
      <c r="L7" s="34" t="str">
        <f t="shared" si="4"/>
        <v/>
      </c>
      <c r="M7" s="25" t="str">
        <f t="shared" si="5"/>
        <v/>
      </c>
    </row>
    <row r="8" spans="1:13" x14ac:dyDescent="0.15">
      <c r="A8" s="8">
        <v>19</v>
      </c>
      <c r="B8" s="21" t="s">
        <v>6</v>
      </c>
      <c r="C8" s="4"/>
      <c r="D8" s="4"/>
      <c r="E8" s="2">
        <f t="shared" si="6"/>
        <v>0</v>
      </c>
      <c r="F8" s="2">
        <f t="shared" si="1"/>
        <v>0</v>
      </c>
      <c r="G8" s="3">
        <f t="shared" si="2"/>
        <v>0</v>
      </c>
      <c r="H8" s="4"/>
      <c r="I8" s="9">
        <f t="shared" si="3"/>
        <v>0</v>
      </c>
      <c r="J8" s="2">
        <f>IF(I8&gt;TIMEVALUE("8:00"),TIMEVALUE("8:00"),I8)</f>
        <v>0</v>
      </c>
      <c r="K8" s="25">
        <f t="shared" ref="K8:K35" si="7">I8-J8</f>
        <v>0</v>
      </c>
      <c r="L8" s="34" t="str">
        <f t="shared" si="4"/>
        <v/>
      </c>
      <c r="M8" s="25" t="str">
        <f t="shared" si="5"/>
        <v/>
      </c>
    </row>
    <row r="9" spans="1:13" x14ac:dyDescent="0.15">
      <c r="A9" s="8">
        <v>20</v>
      </c>
      <c r="B9" s="21" t="s">
        <v>28</v>
      </c>
      <c r="C9" s="4"/>
      <c r="D9" s="4"/>
      <c r="E9" s="2">
        <f t="shared" si="6"/>
        <v>0</v>
      </c>
      <c r="F9" s="2">
        <f t="shared" si="1"/>
        <v>0</v>
      </c>
      <c r="G9" s="3">
        <f t="shared" si="2"/>
        <v>0</v>
      </c>
      <c r="H9" s="4"/>
      <c r="I9" s="9">
        <f t="shared" si="3"/>
        <v>0</v>
      </c>
      <c r="J9" s="2">
        <f t="shared" ref="J9:J35" si="8">IF(I9&gt;TIMEVALUE("8:00"),TIMEVALUE("8:00"),I9)</f>
        <v>0</v>
      </c>
      <c r="K9" s="25">
        <f t="shared" si="7"/>
        <v>0</v>
      </c>
      <c r="L9" s="34">
        <f t="shared" si="4"/>
        <v>0</v>
      </c>
      <c r="M9" s="25">
        <f t="shared" si="5"/>
        <v>0</v>
      </c>
    </row>
    <row r="10" spans="1:13" x14ac:dyDescent="0.15">
      <c r="A10" s="8">
        <v>21</v>
      </c>
      <c r="B10" s="21" t="s">
        <v>8</v>
      </c>
      <c r="C10" s="4"/>
      <c r="D10" s="4"/>
      <c r="E10" s="2">
        <f t="shared" si="6"/>
        <v>0</v>
      </c>
      <c r="F10" s="2">
        <f t="shared" si="1"/>
        <v>0</v>
      </c>
      <c r="G10" s="3">
        <f t="shared" si="2"/>
        <v>0</v>
      </c>
      <c r="H10" s="4"/>
      <c r="I10" s="9">
        <f t="shared" si="3"/>
        <v>0</v>
      </c>
      <c r="J10" s="2">
        <f t="shared" si="8"/>
        <v>0</v>
      </c>
      <c r="K10" s="25">
        <f t="shared" si="7"/>
        <v>0</v>
      </c>
      <c r="L10" s="34">
        <f t="shared" si="4"/>
        <v>0</v>
      </c>
      <c r="M10" s="25">
        <f t="shared" si="5"/>
        <v>0</v>
      </c>
    </row>
    <row r="11" spans="1:13" x14ac:dyDescent="0.15">
      <c r="A11" s="8">
        <v>22</v>
      </c>
      <c r="B11" s="21" t="s">
        <v>2</v>
      </c>
      <c r="C11" s="4"/>
      <c r="D11" s="4"/>
      <c r="E11" s="2">
        <f t="shared" si="6"/>
        <v>0</v>
      </c>
      <c r="F11" s="2">
        <f t="shared" si="1"/>
        <v>0</v>
      </c>
      <c r="G11" s="3">
        <f t="shared" si="2"/>
        <v>0</v>
      </c>
      <c r="H11" s="4"/>
      <c r="I11" s="9">
        <f t="shared" si="3"/>
        <v>0</v>
      </c>
      <c r="J11" s="2">
        <f t="shared" si="8"/>
        <v>0</v>
      </c>
      <c r="K11" s="25">
        <f t="shared" si="7"/>
        <v>0</v>
      </c>
      <c r="L11" s="34">
        <f t="shared" si="4"/>
        <v>0</v>
      </c>
      <c r="M11" s="25">
        <f t="shared" si="5"/>
        <v>0</v>
      </c>
    </row>
    <row r="12" spans="1:13" x14ac:dyDescent="0.15">
      <c r="A12" s="8">
        <v>23</v>
      </c>
      <c r="B12" s="21" t="s">
        <v>3</v>
      </c>
      <c r="C12" s="4"/>
      <c r="D12" s="4"/>
      <c r="E12" s="2">
        <f t="shared" si="6"/>
        <v>0</v>
      </c>
      <c r="F12" s="2">
        <f t="shared" si="1"/>
        <v>0</v>
      </c>
      <c r="G12" s="3">
        <f t="shared" si="2"/>
        <v>0</v>
      </c>
      <c r="H12" s="4"/>
      <c r="I12" s="9">
        <f t="shared" si="3"/>
        <v>0</v>
      </c>
      <c r="J12" s="2">
        <f t="shared" si="8"/>
        <v>0</v>
      </c>
      <c r="K12" s="25">
        <f t="shared" si="7"/>
        <v>0</v>
      </c>
      <c r="L12" s="34" t="str">
        <f t="shared" si="4"/>
        <v/>
      </c>
      <c r="M12" s="25" t="str">
        <f t="shared" si="5"/>
        <v/>
      </c>
    </row>
    <row r="13" spans="1:13" x14ac:dyDescent="0.15">
      <c r="A13" s="8">
        <v>24</v>
      </c>
      <c r="B13" s="21" t="s">
        <v>4</v>
      </c>
      <c r="C13" s="4"/>
      <c r="D13" s="4"/>
      <c r="E13" s="2">
        <f t="shared" si="6"/>
        <v>0</v>
      </c>
      <c r="F13" s="2">
        <f t="shared" si="1"/>
        <v>0</v>
      </c>
      <c r="G13" s="3">
        <f t="shared" si="2"/>
        <v>0</v>
      </c>
      <c r="H13" s="4"/>
      <c r="I13" s="9">
        <f t="shared" si="3"/>
        <v>0</v>
      </c>
      <c r="J13" s="2">
        <f t="shared" si="8"/>
        <v>0</v>
      </c>
      <c r="K13" s="25">
        <f t="shared" si="7"/>
        <v>0</v>
      </c>
      <c r="L13" s="34" t="str">
        <f t="shared" si="4"/>
        <v/>
      </c>
      <c r="M13" s="25" t="str">
        <f t="shared" si="5"/>
        <v/>
      </c>
    </row>
    <row r="14" spans="1:13" x14ac:dyDescent="0.15">
      <c r="A14" s="8">
        <v>25</v>
      </c>
      <c r="B14" s="21" t="s">
        <v>5</v>
      </c>
      <c r="C14" s="4"/>
      <c r="D14" s="4"/>
      <c r="E14" s="2">
        <f t="shared" si="6"/>
        <v>0</v>
      </c>
      <c r="F14" s="2">
        <f t="shared" si="1"/>
        <v>0</v>
      </c>
      <c r="G14" s="3">
        <f t="shared" si="2"/>
        <v>0</v>
      </c>
      <c r="H14" s="4"/>
      <c r="I14" s="9">
        <f t="shared" si="3"/>
        <v>0</v>
      </c>
      <c r="J14" s="2">
        <f t="shared" si="8"/>
        <v>0</v>
      </c>
      <c r="K14" s="25">
        <f t="shared" si="7"/>
        <v>0</v>
      </c>
      <c r="L14" s="34" t="str">
        <f t="shared" si="4"/>
        <v/>
      </c>
      <c r="M14" s="25" t="str">
        <f t="shared" si="5"/>
        <v/>
      </c>
    </row>
    <row r="15" spans="1:13" x14ac:dyDescent="0.15">
      <c r="A15" s="8">
        <v>26</v>
      </c>
      <c r="B15" s="21" t="s">
        <v>6</v>
      </c>
      <c r="C15" s="4"/>
      <c r="D15" s="4"/>
      <c r="E15" s="2">
        <f t="shared" si="6"/>
        <v>0</v>
      </c>
      <c r="F15" s="2">
        <f t="shared" si="1"/>
        <v>0</v>
      </c>
      <c r="G15" s="3">
        <f t="shared" si="2"/>
        <v>0</v>
      </c>
      <c r="H15" s="4"/>
      <c r="I15" s="9">
        <f t="shared" si="3"/>
        <v>0</v>
      </c>
      <c r="J15" s="2">
        <f t="shared" si="8"/>
        <v>0</v>
      </c>
      <c r="K15" s="25">
        <f t="shared" si="7"/>
        <v>0</v>
      </c>
      <c r="L15" s="34" t="str">
        <f t="shared" si="4"/>
        <v/>
      </c>
      <c r="M15" s="25" t="str">
        <f t="shared" si="5"/>
        <v/>
      </c>
    </row>
    <row r="16" spans="1:13" x14ac:dyDescent="0.15">
      <c r="A16" s="8">
        <v>27</v>
      </c>
      <c r="B16" s="21" t="s">
        <v>7</v>
      </c>
      <c r="C16" s="4"/>
      <c r="D16" s="4"/>
      <c r="E16" s="2">
        <f t="shared" si="6"/>
        <v>0</v>
      </c>
      <c r="F16" s="2">
        <f t="shared" si="1"/>
        <v>0</v>
      </c>
      <c r="G16" s="3">
        <f t="shared" si="2"/>
        <v>0</v>
      </c>
      <c r="H16" s="4"/>
      <c r="I16" s="9">
        <f t="shared" si="3"/>
        <v>0</v>
      </c>
      <c r="J16" s="2">
        <f t="shared" si="8"/>
        <v>0</v>
      </c>
      <c r="K16" s="25">
        <f t="shared" si="7"/>
        <v>0</v>
      </c>
      <c r="L16" s="34" t="str">
        <f t="shared" si="4"/>
        <v/>
      </c>
      <c r="M16" s="25" t="str">
        <f t="shared" si="5"/>
        <v/>
      </c>
    </row>
    <row r="17" spans="1:13" x14ac:dyDescent="0.15">
      <c r="A17" s="8">
        <v>28</v>
      </c>
      <c r="B17" s="21" t="s">
        <v>8</v>
      </c>
      <c r="C17" s="4"/>
      <c r="D17" s="4"/>
      <c r="E17" s="2">
        <f t="shared" si="6"/>
        <v>0</v>
      </c>
      <c r="F17" s="2">
        <f t="shared" si="1"/>
        <v>0</v>
      </c>
      <c r="G17" s="3">
        <f t="shared" si="2"/>
        <v>0</v>
      </c>
      <c r="H17" s="4"/>
      <c r="I17" s="9">
        <f t="shared" si="3"/>
        <v>0</v>
      </c>
      <c r="J17" s="2">
        <f t="shared" si="8"/>
        <v>0</v>
      </c>
      <c r="K17" s="25">
        <f t="shared" si="7"/>
        <v>0</v>
      </c>
      <c r="L17" s="34">
        <f t="shared" si="4"/>
        <v>0</v>
      </c>
      <c r="M17" s="25">
        <f t="shared" si="5"/>
        <v>0</v>
      </c>
    </row>
    <row r="18" spans="1:13" x14ac:dyDescent="0.15">
      <c r="A18" s="8">
        <v>29</v>
      </c>
      <c r="B18" s="21" t="s">
        <v>2</v>
      </c>
      <c r="C18" s="4"/>
      <c r="D18" s="4"/>
      <c r="E18" s="2"/>
      <c r="F18" s="2"/>
      <c r="G18" s="3">
        <f t="shared" si="2"/>
        <v>0</v>
      </c>
      <c r="H18" s="4"/>
      <c r="I18" s="9">
        <f t="shared" si="3"/>
        <v>0</v>
      </c>
      <c r="J18" s="2">
        <f t="shared" si="8"/>
        <v>0</v>
      </c>
      <c r="K18" s="25">
        <f t="shared" si="7"/>
        <v>0</v>
      </c>
      <c r="L18" s="34">
        <f t="shared" si="4"/>
        <v>0</v>
      </c>
      <c r="M18" s="25">
        <f t="shared" si="5"/>
        <v>0</v>
      </c>
    </row>
    <row r="19" spans="1:13" x14ac:dyDescent="0.15">
      <c r="A19" s="8">
        <v>30</v>
      </c>
      <c r="B19" s="21" t="s">
        <v>3</v>
      </c>
      <c r="C19" s="4"/>
      <c r="D19" s="4"/>
      <c r="E19" s="2"/>
      <c r="F19" s="2"/>
      <c r="G19" s="3">
        <f t="shared" si="2"/>
        <v>0</v>
      </c>
      <c r="H19" s="4"/>
      <c r="I19" s="9">
        <f t="shared" si="3"/>
        <v>0</v>
      </c>
      <c r="J19" s="2">
        <f t="shared" si="8"/>
        <v>0</v>
      </c>
      <c r="K19" s="25">
        <f t="shared" si="7"/>
        <v>0</v>
      </c>
      <c r="L19" s="34" t="str">
        <f t="shared" si="4"/>
        <v/>
      </c>
      <c r="M19" s="25" t="str">
        <f t="shared" si="5"/>
        <v/>
      </c>
    </row>
    <row r="20" spans="1:13" x14ac:dyDescent="0.15">
      <c r="A20" s="8">
        <v>31</v>
      </c>
      <c r="B20" s="21" t="s">
        <v>4</v>
      </c>
      <c r="C20" s="4"/>
      <c r="D20" s="4"/>
      <c r="E20" s="2"/>
      <c r="F20" s="2"/>
      <c r="G20" s="3">
        <f t="shared" si="2"/>
        <v>0</v>
      </c>
      <c r="H20" s="4"/>
      <c r="I20" s="9">
        <f t="shared" si="3"/>
        <v>0</v>
      </c>
      <c r="J20" s="2">
        <f t="shared" si="8"/>
        <v>0</v>
      </c>
      <c r="K20" s="25">
        <f t="shared" si="7"/>
        <v>0</v>
      </c>
      <c r="L20" s="34" t="str">
        <f t="shared" si="4"/>
        <v/>
      </c>
      <c r="M20" s="25" t="str">
        <f t="shared" si="5"/>
        <v/>
      </c>
    </row>
    <row r="21" spans="1:13" x14ac:dyDescent="0.15">
      <c r="A21" s="8">
        <v>1</v>
      </c>
      <c r="B21" s="21" t="s">
        <v>5</v>
      </c>
      <c r="C21" s="4"/>
      <c r="D21" s="4"/>
      <c r="E21" s="2">
        <f t="shared" si="6"/>
        <v>0</v>
      </c>
      <c r="F21" s="2">
        <f t="shared" si="1"/>
        <v>0</v>
      </c>
      <c r="G21" s="3">
        <f t="shared" si="2"/>
        <v>0</v>
      </c>
      <c r="H21" s="4"/>
      <c r="I21" s="9">
        <f t="shared" si="3"/>
        <v>0</v>
      </c>
      <c r="J21" s="2">
        <f t="shared" si="8"/>
        <v>0</v>
      </c>
      <c r="K21" s="25">
        <f t="shared" si="7"/>
        <v>0</v>
      </c>
      <c r="L21" s="34" t="str">
        <f t="shared" si="4"/>
        <v/>
      </c>
      <c r="M21" s="25" t="str">
        <f t="shared" si="5"/>
        <v/>
      </c>
    </row>
    <row r="22" spans="1:13" x14ac:dyDescent="0.15">
      <c r="A22" s="8">
        <v>2</v>
      </c>
      <c r="B22" s="21" t="s">
        <v>6</v>
      </c>
      <c r="C22" s="4"/>
      <c r="D22" s="4"/>
      <c r="E22" s="2">
        <f t="shared" si="6"/>
        <v>0</v>
      </c>
      <c r="F22" s="2">
        <f t="shared" si="1"/>
        <v>0</v>
      </c>
      <c r="G22" s="3">
        <f t="shared" si="2"/>
        <v>0</v>
      </c>
      <c r="H22" s="4"/>
      <c r="I22" s="9">
        <f t="shared" si="3"/>
        <v>0</v>
      </c>
      <c r="J22" s="2">
        <f t="shared" si="8"/>
        <v>0</v>
      </c>
      <c r="K22" s="25">
        <f t="shared" si="7"/>
        <v>0</v>
      </c>
      <c r="L22" s="34" t="str">
        <f t="shared" si="4"/>
        <v/>
      </c>
      <c r="M22" s="25" t="str">
        <f t="shared" si="5"/>
        <v/>
      </c>
    </row>
    <row r="23" spans="1:13" x14ac:dyDescent="0.15">
      <c r="A23" s="8">
        <v>3</v>
      </c>
      <c r="B23" s="21" t="s">
        <v>7</v>
      </c>
      <c r="C23" s="4"/>
      <c r="D23" s="4"/>
      <c r="E23" s="2">
        <f t="shared" si="6"/>
        <v>0</v>
      </c>
      <c r="F23" s="2">
        <f t="shared" si="1"/>
        <v>0</v>
      </c>
      <c r="G23" s="3">
        <f t="shared" si="2"/>
        <v>0</v>
      </c>
      <c r="H23" s="4"/>
      <c r="I23" s="9">
        <f t="shared" si="3"/>
        <v>0</v>
      </c>
      <c r="J23" s="2">
        <f t="shared" si="8"/>
        <v>0</v>
      </c>
      <c r="K23" s="25">
        <f t="shared" si="7"/>
        <v>0</v>
      </c>
      <c r="L23" s="34" t="str">
        <f t="shared" si="4"/>
        <v/>
      </c>
      <c r="M23" s="25" t="str">
        <f t="shared" si="5"/>
        <v/>
      </c>
    </row>
    <row r="24" spans="1:13" x14ac:dyDescent="0.15">
      <c r="A24" s="8">
        <v>4</v>
      </c>
      <c r="B24" s="21" t="s">
        <v>8</v>
      </c>
      <c r="C24" s="4"/>
      <c r="D24" s="4"/>
      <c r="E24" s="2">
        <f t="shared" si="6"/>
        <v>0</v>
      </c>
      <c r="F24" s="2">
        <f t="shared" si="1"/>
        <v>0</v>
      </c>
      <c r="G24" s="3">
        <f t="shared" si="2"/>
        <v>0</v>
      </c>
      <c r="H24" s="4"/>
      <c r="I24" s="9">
        <f t="shared" si="3"/>
        <v>0</v>
      </c>
      <c r="J24" s="2">
        <f t="shared" si="8"/>
        <v>0</v>
      </c>
      <c r="K24" s="25">
        <f>I24-J24</f>
        <v>0</v>
      </c>
      <c r="L24" s="34">
        <f t="shared" si="4"/>
        <v>0</v>
      </c>
      <c r="M24" s="25">
        <f t="shared" si="5"/>
        <v>0</v>
      </c>
    </row>
    <row r="25" spans="1:13" x14ac:dyDescent="0.15">
      <c r="A25" s="8">
        <v>5</v>
      </c>
      <c r="B25" s="21" t="s">
        <v>2</v>
      </c>
      <c r="C25" s="4"/>
      <c r="D25" s="4"/>
      <c r="E25" s="2">
        <f t="shared" si="6"/>
        <v>0</v>
      </c>
      <c r="F25" s="2">
        <f t="shared" si="1"/>
        <v>0</v>
      </c>
      <c r="G25" s="3">
        <f t="shared" si="2"/>
        <v>0</v>
      </c>
      <c r="H25" s="4"/>
      <c r="I25" s="9">
        <f t="shared" si="3"/>
        <v>0</v>
      </c>
      <c r="J25" s="2">
        <f t="shared" si="8"/>
        <v>0</v>
      </c>
      <c r="K25" s="25">
        <f t="shared" si="7"/>
        <v>0</v>
      </c>
      <c r="L25" s="34">
        <f t="shared" si="4"/>
        <v>0</v>
      </c>
      <c r="M25" s="25">
        <f t="shared" si="5"/>
        <v>0</v>
      </c>
    </row>
    <row r="26" spans="1:13" x14ac:dyDescent="0.15">
      <c r="A26" s="8">
        <v>6</v>
      </c>
      <c r="B26" s="21" t="s">
        <v>3</v>
      </c>
      <c r="C26" s="4"/>
      <c r="D26" s="4"/>
      <c r="E26" s="2">
        <f t="shared" si="6"/>
        <v>0</v>
      </c>
      <c r="F26" s="2">
        <f t="shared" si="1"/>
        <v>0</v>
      </c>
      <c r="G26" s="3">
        <f t="shared" si="2"/>
        <v>0</v>
      </c>
      <c r="H26" s="4"/>
      <c r="I26" s="9">
        <f t="shared" si="3"/>
        <v>0</v>
      </c>
      <c r="J26" s="2">
        <f t="shared" si="8"/>
        <v>0</v>
      </c>
      <c r="K26" s="25">
        <f t="shared" si="7"/>
        <v>0</v>
      </c>
      <c r="L26" s="34" t="str">
        <f t="shared" si="4"/>
        <v/>
      </c>
      <c r="M26" s="25" t="str">
        <f t="shared" si="5"/>
        <v/>
      </c>
    </row>
    <row r="27" spans="1:13" x14ac:dyDescent="0.15">
      <c r="A27" s="8">
        <v>7</v>
      </c>
      <c r="B27" s="21" t="s">
        <v>4</v>
      </c>
      <c r="C27" s="4"/>
      <c r="D27" s="4"/>
      <c r="E27" s="2">
        <f t="shared" si="6"/>
        <v>0</v>
      </c>
      <c r="F27" s="2">
        <f t="shared" si="1"/>
        <v>0</v>
      </c>
      <c r="G27" s="3">
        <f t="shared" si="2"/>
        <v>0</v>
      </c>
      <c r="H27" s="4"/>
      <c r="I27" s="9">
        <f t="shared" si="3"/>
        <v>0</v>
      </c>
      <c r="J27" s="2">
        <f t="shared" si="8"/>
        <v>0</v>
      </c>
      <c r="K27" s="25">
        <f t="shared" si="7"/>
        <v>0</v>
      </c>
      <c r="L27" s="34" t="str">
        <f t="shared" si="4"/>
        <v/>
      </c>
      <c r="M27" s="25" t="str">
        <f t="shared" si="5"/>
        <v/>
      </c>
    </row>
    <row r="28" spans="1:13" x14ac:dyDescent="0.15">
      <c r="A28" s="8">
        <v>8</v>
      </c>
      <c r="B28" s="21" t="s">
        <v>5</v>
      </c>
      <c r="C28" s="4"/>
      <c r="D28" s="4"/>
      <c r="E28" s="2">
        <f t="shared" si="6"/>
        <v>0</v>
      </c>
      <c r="F28" s="2">
        <f t="shared" si="1"/>
        <v>0</v>
      </c>
      <c r="G28" s="3">
        <f t="shared" si="2"/>
        <v>0</v>
      </c>
      <c r="H28" s="4"/>
      <c r="I28" s="9">
        <f t="shared" si="3"/>
        <v>0</v>
      </c>
      <c r="J28" s="2">
        <f t="shared" si="8"/>
        <v>0</v>
      </c>
      <c r="K28" s="25">
        <f t="shared" si="7"/>
        <v>0</v>
      </c>
      <c r="L28" s="34" t="str">
        <f t="shared" si="4"/>
        <v/>
      </c>
      <c r="M28" s="25" t="str">
        <f t="shared" si="5"/>
        <v/>
      </c>
    </row>
    <row r="29" spans="1:13" x14ac:dyDescent="0.15">
      <c r="A29" s="8">
        <v>9</v>
      </c>
      <c r="B29" s="21" t="s">
        <v>6</v>
      </c>
      <c r="C29" s="4"/>
      <c r="D29" s="4"/>
      <c r="E29" s="2">
        <f t="shared" si="6"/>
        <v>0</v>
      </c>
      <c r="F29" s="2">
        <f t="shared" si="1"/>
        <v>0</v>
      </c>
      <c r="G29" s="3">
        <f t="shared" si="2"/>
        <v>0</v>
      </c>
      <c r="H29" s="4"/>
      <c r="I29" s="9">
        <f t="shared" si="3"/>
        <v>0</v>
      </c>
      <c r="J29" s="2">
        <f t="shared" si="8"/>
        <v>0</v>
      </c>
      <c r="K29" s="25">
        <f t="shared" si="7"/>
        <v>0</v>
      </c>
      <c r="L29" s="34" t="str">
        <f t="shared" si="4"/>
        <v/>
      </c>
      <c r="M29" s="25" t="str">
        <f t="shared" si="5"/>
        <v/>
      </c>
    </row>
    <row r="30" spans="1:13" x14ac:dyDescent="0.15">
      <c r="A30" s="8">
        <v>10</v>
      </c>
      <c r="B30" s="21" t="s">
        <v>7</v>
      </c>
      <c r="C30" s="4"/>
      <c r="D30" s="4"/>
      <c r="E30" s="2">
        <f t="shared" si="6"/>
        <v>0</v>
      </c>
      <c r="F30" s="2">
        <f t="shared" si="1"/>
        <v>0</v>
      </c>
      <c r="G30" s="3">
        <f t="shared" si="2"/>
        <v>0</v>
      </c>
      <c r="H30" s="4"/>
      <c r="I30" s="9">
        <f t="shared" si="3"/>
        <v>0</v>
      </c>
      <c r="J30" s="2">
        <f t="shared" si="8"/>
        <v>0</v>
      </c>
      <c r="K30" s="25">
        <f t="shared" si="7"/>
        <v>0</v>
      </c>
      <c r="L30" s="34" t="str">
        <f t="shared" si="4"/>
        <v/>
      </c>
      <c r="M30" s="25" t="str">
        <f t="shared" si="5"/>
        <v/>
      </c>
    </row>
    <row r="31" spans="1:13" x14ac:dyDescent="0.15">
      <c r="A31" s="8">
        <v>11</v>
      </c>
      <c r="B31" s="21" t="s">
        <v>8</v>
      </c>
      <c r="C31" s="4"/>
      <c r="D31" s="4"/>
      <c r="E31" s="2">
        <f t="shared" si="6"/>
        <v>0</v>
      </c>
      <c r="F31" s="2">
        <f t="shared" si="1"/>
        <v>0</v>
      </c>
      <c r="G31" s="3">
        <f t="shared" si="2"/>
        <v>0</v>
      </c>
      <c r="H31" s="4"/>
      <c r="I31" s="9">
        <f t="shared" si="3"/>
        <v>0</v>
      </c>
      <c r="J31" s="2">
        <f t="shared" si="8"/>
        <v>0</v>
      </c>
      <c r="K31" s="25">
        <f t="shared" si="7"/>
        <v>0</v>
      </c>
      <c r="L31" s="34">
        <f t="shared" si="4"/>
        <v>0</v>
      </c>
      <c r="M31" s="25">
        <f t="shared" si="5"/>
        <v>0</v>
      </c>
    </row>
    <row r="32" spans="1:13" x14ac:dyDescent="0.15">
      <c r="A32" s="8">
        <v>12</v>
      </c>
      <c r="B32" s="21" t="s">
        <v>2</v>
      </c>
      <c r="C32" s="4"/>
      <c r="D32" s="4"/>
      <c r="E32" s="2">
        <f t="shared" si="6"/>
        <v>0</v>
      </c>
      <c r="F32" s="2">
        <f t="shared" si="1"/>
        <v>0</v>
      </c>
      <c r="G32" s="3">
        <f t="shared" si="2"/>
        <v>0</v>
      </c>
      <c r="H32" s="4"/>
      <c r="I32" s="9">
        <f t="shared" si="3"/>
        <v>0</v>
      </c>
      <c r="J32" s="2">
        <f t="shared" si="8"/>
        <v>0</v>
      </c>
      <c r="K32" s="25">
        <f t="shared" si="7"/>
        <v>0</v>
      </c>
      <c r="L32" s="34">
        <f t="shared" si="4"/>
        <v>0</v>
      </c>
      <c r="M32" s="25">
        <f t="shared" si="5"/>
        <v>0</v>
      </c>
    </row>
    <row r="33" spans="1:14" x14ac:dyDescent="0.15">
      <c r="A33" s="8">
        <v>13</v>
      </c>
      <c r="B33" s="21" t="s">
        <v>3</v>
      </c>
      <c r="C33" s="4"/>
      <c r="D33" s="4"/>
      <c r="E33" s="2">
        <f t="shared" si="6"/>
        <v>0</v>
      </c>
      <c r="F33" s="2">
        <f t="shared" si="1"/>
        <v>0</v>
      </c>
      <c r="G33" s="3">
        <f t="shared" si="2"/>
        <v>0</v>
      </c>
      <c r="H33" s="4"/>
      <c r="I33" s="9">
        <f t="shared" si="3"/>
        <v>0</v>
      </c>
      <c r="J33" s="2">
        <f t="shared" si="8"/>
        <v>0</v>
      </c>
      <c r="K33" s="25">
        <f t="shared" si="7"/>
        <v>0</v>
      </c>
      <c r="L33" s="34" t="str">
        <f t="shared" si="4"/>
        <v/>
      </c>
      <c r="M33" s="25" t="str">
        <f t="shared" si="5"/>
        <v/>
      </c>
    </row>
    <row r="34" spans="1:14" x14ac:dyDescent="0.15">
      <c r="A34" s="8">
        <v>14</v>
      </c>
      <c r="B34" s="21" t="s">
        <v>4</v>
      </c>
      <c r="C34" s="4"/>
      <c r="D34" s="4"/>
      <c r="E34" s="2">
        <f t="shared" si="6"/>
        <v>0</v>
      </c>
      <c r="F34" s="2">
        <f t="shared" si="1"/>
        <v>0</v>
      </c>
      <c r="G34" s="3">
        <f t="shared" si="2"/>
        <v>0</v>
      </c>
      <c r="H34" s="4"/>
      <c r="I34" s="9">
        <f t="shared" si="3"/>
        <v>0</v>
      </c>
      <c r="J34" s="2">
        <f t="shared" si="8"/>
        <v>0</v>
      </c>
      <c r="K34" s="25">
        <v>0</v>
      </c>
      <c r="L34" s="34" t="str">
        <f t="shared" si="4"/>
        <v/>
      </c>
      <c r="M34" s="25" t="str">
        <f t="shared" si="5"/>
        <v/>
      </c>
    </row>
    <row r="35" spans="1:14" ht="14.25" thickBot="1" x14ac:dyDescent="0.2">
      <c r="A35" s="8">
        <v>15</v>
      </c>
      <c r="B35" s="21" t="s">
        <v>5</v>
      </c>
      <c r="C35" s="4"/>
      <c r="D35" s="4"/>
      <c r="E35" s="2">
        <f t="shared" si="6"/>
        <v>0</v>
      </c>
      <c r="F35" s="2">
        <f t="shared" si="1"/>
        <v>0</v>
      </c>
      <c r="G35" s="3">
        <f t="shared" si="2"/>
        <v>0</v>
      </c>
      <c r="H35" s="4"/>
      <c r="I35" s="9">
        <f t="shared" si="3"/>
        <v>0</v>
      </c>
      <c r="J35" s="2">
        <f t="shared" si="8"/>
        <v>0</v>
      </c>
      <c r="K35" s="25">
        <f t="shared" si="7"/>
        <v>0</v>
      </c>
      <c r="L35" s="34" t="str">
        <f t="shared" si="4"/>
        <v/>
      </c>
      <c r="M35" s="25" t="str">
        <f t="shared" si="5"/>
        <v/>
      </c>
    </row>
    <row r="36" spans="1:14" ht="18" customHeight="1" thickBot="1" x14ac:dyDescent="0.2">
      <c r="A36" s="12" t="s">
        <v>23</v>
      </c>
      <c r="B36" s="22"/>
      <c r="C36" s="13"/>
      <c r="D36" s="13"/>
      <c r="E36" s="13"/>
      <c r="F36" s="13"/>
      <c r="G36" s="14">
        <f t="shared" ref="G36:M36" si="9">SUM(G5:G35)</f>
        <v>0</v>
      </c>
      <c r="H36" s="14">
        <f t="shared" si="9"/>
        <v>0</v>
      </c>
      <c r="I36" s="15">
        <f t="shared" si="9"/>
        <v>0</v>
      </c>
      <c r="J36" s="14">
        <f t="shared" si="9"/>
        <v>0</v>
      </c>
      <c r="K36" s="14">
        <f t="shared" si="9"/>
        <v>0</v>
      </c>
      <c r="L36" s="14">
        <f t="shared" si="9"/>
        <v>0</v>
      </c>
      <c r="M36" s="15">
        <f t="shared" si="9"/>
        <v>0</v>
      </c>
      <c r="N36" s="30"/>
    </row>
    <row r="37" spans="1:14" ht="12.75" hidden="1" customHeight="1" thickBot="1" x14ac:dyDescent="0.2">
      <c r="I37" s="16"/>
      <c r="J37" s="16">
        <f>J36</f>
        <v>0</v>
      </c>
      <c r="K37" s="16">
        <f>K36</f>
        <v>0</v>
      </c>
      <c r="L37" s="16">
        <f t="shared" ref="L37:M37" si="10">L36</f>
        <v>0</v>
      </c>
      <c r="M37" s="16">
        <f t="shared" si="10"/>
        <v>0</v>
      </c>
    </row>
    <row r="38" spans="1:14" x14ac:dyDescent="0.15">
      <c r="A38" s="1" t="s">
        <v>24</v>
      </c>
      <c r="B38" s="1"/>
      <c r="I38" s="44"/>
      <c r="J38" s="44">
        <f>J37*G2*24</f>
        <v>0</v>
      </c>
      <c r="K38" s="44">
        <f>K37*J2*24</f>
        <v>0</v>
      </c>
      <c r="L38" s="44">
        <f>L37*50*24</f>
        <v>0</v>
      </c>
      <c r="M38" s="44">
        <f>M37*62.5*24</f>
        <v>0</v>
      </c>
    </row>
    <row r="39" spans="1:14" ht="17.25" customHeight="1" x14ac:dyDescent="0.15">
      <c r="A39" s="17"/>
      <c r="B39" s="37" t="s">
        <v>32</v>
      </c>
      <c r="C39" s="45">
        <f>+J38</f>
        <v>0</v>
      </c>
      <c r="E39" s="19"/>
      <c r="F39" s="19"/>
      <c r="H39" s="37" t="s">
        <v>0</v>
      </c>
      <c r="I39" s="27">
        <f>J36</f>
        <v>0</v>
      </c>
    </row>
    <row r="40" spans="1:14" x14ac:dyDescent="0.15">
      <c r="B40" s="31" t="s">
        <v>31</v>
      </c>
      <c r="C40" s="35">
        <f>K38</f>
        <v>0</v>
      </c>
      <c r="H40" s="31" t="s">
        <v>9</v>
      </c>
      <c r="I40" s="28">
        <f>K36</f>
        <v>0</v>
      </c>
      <c r="J40" s="40" t="s">
        <v>11</v>
      </c>
      <c r="K40" s="40" t="s">
        <v>12</v>
      </c>
      <c r="L40" s="40" t="s">
        <v>13</v>
      </c>
      <c r="M40" s="40" t="s">
        <v>14</v>
      </c>
    </row>
    <row r="41" spans="1:14" x14ac:dyDescent="0.15">
      <c r="B41" s="38" t="s">
        <v>30</v>
      </c>
      <c r="C41" s="35">
        <f>L38</f>
        <v>0</v>
      </c>
      <c r="H41" s="31" t="s">
        <v>10</v>
      </c>
      <c r="I41" s="28">
        <f>I39+I40</f>
        <v>0</v>
      </c>
      <c r="J41" s="24">
        <f>COUNT(C5:C35)</f>
        <v>0</v>
      </c>
      <c r="K41" s="24">
        <f>COUNTA(B5:B35)-J41-L41</f>
        <v>31</v>
      </c>
      <c r="L41" s="24">
        <v>0</v>
      </c>
      <c r="M41" s="24">
        <v>0</v>
      </c>
    </row>
    <row r="42" spans="1:14" x14ac:dyDescent="0.15">
      <c r="B42" s="38" t="s">
        <v>34</v>
      </c>
      <c r="C42" s="35">
        <f>M38</f>
        <v>0</v>
      </c>
      <c r="H42" s="31" t="s">
        <v>26</v>
      </c>
      <c r="I42" s="32">
        <f>L36</f>
        <v>0</v>
      </c>
    </row>
    <row r="43" spans="1:14" x14ac:dyDescent="0.15">
      <c r="B43" s="31" t="s">
        <v>33</v>
      </c>
      <c r="C43" s="35">
        <f>SUM(C39:C42)</f>
        <v>0</v>
      </c>
      <c r="H43" s="31" t="s">
        <v>27</v>
      </c>
      <c r="I43" s="32">
        <f>M36</f>
        <v>0</v>
      </c>
    </row>
  </sheetData>
  <mergeCells count="2">
    <mergeCell ref="L3:M3"/>
    <mergeCell ref="E4:F4"/>
  </mergeCells>
  <phoneticPr fontId="3"/>
  <conditionalFormatting sqref="B5:B35">
    <cfRule type="cellIs" dxfId="5" priority="1" operator="equal">
      <formula>"祝"</formula>
    </cfRule>
    <cfRule type="cellIs" dxfId="4" priority="2" operator="equal">
      <formula>"日"</formula>
    </cfRule>
    <cfRule type="cellIs" dxfId="3" priority="3" operator="equal">
      <formula>"土"</formula>
    </cfRule>
  </conditionalFormatting>
  <pageMargins left="0.51181102362204722" right="0.39370078740157483" top="0.98425196850393704" bottom="0.98425196850393704" header="0.51181102362204722" footer="0.51181102362204722"/>
  <pageSetup paperSize="9" scale="110" orientation="portrait" r:id="rId1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ワークシート</vt:lpstr>
      </vt:variant>
      <vt:variant>
        <vt:i4>14</vt:i4>
      </vt:variant>
      <vt:variant>
        <vt:lpstr>名前付き一覧</vt:lpstr>
      </vt:variant>
      <vt:variant>
        <vt:i4>12</vt:i4>
      </vt:variant>
    </vt:vector>
  </HeadingPairs>
  <TitlesOfParts>
    <vt:vector baseType="lpstr" size="26">
      <vt:lpstr>フロントスタッフ</vt:lpstr>
      <vt:lpstr>濵島</vt:lpstr>
      <vt:lpstr>中島</vt:lpstr>
      <vt:lpstr>近藤</vt:lpstr>
      <vt:lpstr>金子</vt:lpstr>
      <vt:lpstr>森屋</vt:lpstr>
      <vt:lpstr>野村</vt:lpstr>
      <vt:lpstr>コース売店スタッフ</vt:lpstr>
      <vt:lpstr>新井</vt:lpstr>
      <vt:lpstr>若林</vt:lpstr>
      <vt:lpstr>西澤</vt:lpstr>
      <vt:lpstr>松野</vt:lpstr>
      <vt:lpstr>原本</vt:lpstr>
      <vt:lpstr>原本（入力例）</vt:lpstr>
      <vt:lpstr>近藤!Print_Area</vt:lpstr>
      <vt:lpstr>金子!Print_Area</vt:lpstr>
      <vt:lpstr>原本!Print_Area</vt:lpstr>
      <vt:lpstr>'原本（入力例）'!Print_Area</vt:lpstr>
      <vt:lpstr>若林!Print_Area</vt:lpstr>
      <vt:lpstr>松野!Print_Area</vt:lpstr>
      <vt:lpstr>新井!Print_Area</vt:lpstr>
      <vt:lpstr>森屋!Print_Area</vt:lpstr>
      <vt:lpstr>西澤!Print_Area</vt:lpstr>
      <vt:lpstr>中島!Print_Area</vt:lpstr>
      <vt:lpstr>野村!Print_Area</vt:lpstr>
      <vt:lpstr>濵島!Print_Area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2000-06-10T01:29:27Z</dcterms:created>
  <dc:creator>t.koike</dc:creator>
  <cp:lastModifiedBy>shusuke osawa</cp:lastModifiedBy>
  <cp:lastPrinted>2026-04-19T01:42:40Z</cp:lastPrinted>
  <dcterms:modified xsi:type="dcterms:W3CDTF">2026-08-11T05:40:21Z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